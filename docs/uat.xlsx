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T Test Log" sheetId="1" r:id="rId5"/>
  </sheets>
  <definedNames/>
  <calcPr/>
</workbook>
</file>

<file path=xl/sharedStrings.xml><?xml version="1.0" encoding="utf-8"?>
<sst xmlns="http://schemas.openxmlformats.org/spreadsheetml/2006/main" count="53" uniqueCount="53">
  <si>
    <t>Perodua Power BI Dashboard: UAT Test</t>
  </si>
  <si>
    <t>Purpose: check that every number and interactive feature on the dashboard matches the real data in MySQL (carmart_dw), before the final publish.</t>
  </si>
  <si>
    <t>How to use: run each test against the final dashboard. Fill in Actual Result and pick Pass, Fail, or Blocked from the dropdown.</t>
  </si>
  <si>
    <t>Total Test Cases</t>
  </si>
  <si>
    <t>Passed</t>
  </si>
  <si>
    <t>Failed</t>
  </si>
  <si>
    <t>Pass Rate</t>
  </si>
  <si>
    <t>Test ID</t>
  </si>
  <si>
    <t>Scenario</t>
  </si>
  <si>
    <t>Test Steps</t>
  </si>
  <si>
    <t>Expected Result</t>
  </si>
  <si>
    <t>Actual Result</t>
  </si>
  <si>
    <t>Pass/Fail</t>
  </si>
  <si>
    <t>UAT-01</t>
  </si>
  <si>
    <t>Total Registrations card matches the database</t>
  </si>
  <si>
    <t>Open the Malaysia Overview page. Look at the Total Registrations card.</t>
  </si>
  <si>
    <t>Shows exactly 5,488,457. This should match the 'Total registrations' row from vw_dq_checks in MySQL.</t>
  </si>
  <si>
    <t>UAT-02</t>
  </si>
  <si>
    <t>Every registration matched to a real car model</t>
  </si>
  <si>
    <t>Add a temporary table with dim_model[model] and Total Registrations, no filters. Look for a row labeled '(Blank)'.</t>
  </si>
  <si>
    <t>No '(Blank)' row shows up. This means every registration successfully matched to a real model. (If one didn't match, it would show up here as '(Blank)' instead of a real model name.)</t>
  </si>
  <si>
    <t>UAT-03</t>
  </si>
  <si>
    <t>Perodua Registrations only ever shows Perodua's number</t>
  </si>
  <si>
    <t>Add a Card with Perodua Registrations, no filters. Add a second Card with Total Registrations, but filter it to Perodua only. Compare the two.</t>
  </si>
  <si>
    <t>Both cards show the same number. (Don't test this with a table split by every maker. Every row would show Perodua's number, not zero for other makers. That's expected behaviour, not a mistake. Just use the two-card method above instead.)</t>
  </si>
  <si>
    <t>UAT-04</t>
  </si>
  <si>
    <t>Market Share % stays correct even when the page is filtered to Perodua</t>
  </si>
  <si>
    <t>Note the % shown on the Perodua Focus page (already filtered to Perodua). Remove that filter for a moment and check the same measure on a card. Put the filter back after.</t>
  </si>
  <si>
    <t>Same percentage both times. This proves the measure always compares Perodua against the WHOLE market, not just whatever is currently filtered. Without this, filtering to Perodua would wrongly show 100%.</t>
  </si>
  <si>
    <t>UAT-05</t>
  </si>
  <si>
    <t>YTD Registrations restarts every January</t>
  </si>
  <si>
    <t>Make a table with Year, Month, and YTD Registrations. Check January for each year.</t>
  </si>
  <si>
    <t>January's number equals January's own total. Nothing carries over from December of the year before.</t>
  </si>
  <si>
    <t>UAT-06</t>
  </si>
  <si>
    <t>Prior Year Registrations looks back exactly one year</t>
  </si>
  <si>
    <t>Compare what Prior Year Registrations shows for July 2026 against the real Total Registrations for July 2025.</t>
  </si>
  <si>
    <t>Both numbers match exactly.</t>
  </si>
  <si>
    <t>UAT-07</t>
  </si>
  <si>
    <t>YoY Growth % is calculated correctly</t>
  </si>
  <si>
    <t>Pick one month. Calculate (This Year minus Last Year) divided by Last Year yourself. Compare to what the measure shows. Then check January 2019, which has no prior year to compare to.</t>
  </si>
  <si>
    <t>Your manual number matches the measure. January 2019 shows blank, not an error and not zero, since there's nothing to divide by.</t>
  </si>
  <si>
    <t>UAT-08</t>
  </si>
  <si>
    <t>Every model's share adds up to 100%</t>
  </si>
  <si>
    <t>Make a table with Model and % of Total by Model, no filters. Add up the whole column.</t>
  </si>
  <si>
    <t>The column adds up to 100% (small rounding is fine).</t>
  </si>
  <si>
    <t>UAT-09</t>
  </si>
  <si>
    <t>Rakan Niaga is left off the maps but still counted in totals</t>
  </si>
  <si>
    <t>Check the state map on both pages for a 'Rakan Niaga' region. Then confirm the Total Registrations card still includes it.</t>
  </si>
  <si>
    <t>'Rakan Niaga' does not show up on any map. Total Registrations still equals the full 5,488,457.</t>
  </si>
  <si>
    <t>UAT-10</t>
  </si>
  <si>
    <t>Clicking a model filters the Model Detail page correctly</t>
  </si>
  <si>
    <t>On Perodua Focus, right-click a model on the donut chart (like Myvi), then Drill through, then Model Detail. Check the card, line chart, and bar chart. Click the back arrow.</t>
  </si>
  <si>
    <t>Everything on Model Detail shows Myvi only. The back arrow takes you cleanly back to Perodua Focus.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</si>
</sst>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1.0"/>
      <color theme="1"/>
      <name val="Calibri"/>
      <scheme val="minor"/>
    </font>
    <font>
      <b/>
      <sz val="14.0"/>
      <color rgb="FF1F4E78"/>
      <name val="Arial"/>
    </font>
    <font>
      <i/>
      <sz val="10.0"/>
      <color rgb="FF595959"/>
      <name val="Arial"/>
    </font>
    <font>
      <b/>
      <sz val="10.0"/>
      <color theme="1"/>
      <name val="Arial"/>
    </font>
    <font>
      <sz val="10.0"/>
      <color theme="1"/>
      <name val="Arial"/>
    </font>
    <font>
      <b/>
      <sz val="11.0"/>
      <color rgb="FFFFFFFF"/>
      <name val="Arial"/>
    </font>
  </fonts>
  <fills count="3">
    <fill>
      <patternFill patternType="none"/>
    </fill>
    <fill>
      <patternFill patternType="lightGray"/>
    </fill>
    <fill>
      <patternFill patternType="solid">
        <fgColor rgb="FF1F4E78"/>
        <bgColor rgb="FF1F4E78"/>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horizontal="center" shrinkToFit="0" vertical="center" wrapText="0"/>
    </xf>
    <xf borderId="0" fillId="0" fontId="4" numFmtId="164" xfId="0" applyAlignment="1" applyFont="1" applyNumberFormat="1">
      <alignment horizontal="center" shrinkToFit="0" vertical="center" wrapText="0"/>
    </xf>
    <xf borderId="1" fillId="2" fontId="5" numFmtId="0" xfId="0" applyAlignment="1" applyBorder="1" applyFill="1" applyFont="1">
      <alignment horizontal="center"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horizontal="left" shrinkToFit="0" vertical="top" wrapText="1"/>
    </xf>
  </cellXfs>
  <cellStyles count="1">
    <cellStyle xfId="0" name="Normal" builtinId="0"/>
  </cellStyles>
  <dxfs count="3">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0.0"/>
    <col customWidth="1" min="2" max="2" width="30.0"/>
    <col customWidth="1" min="3" max="4" width="42.0"/>
    <col customWidth="1" min="5" max="5" width="26.0"/>
    <col customWidth="1" min="6" max="6" width="12.0"/>
    <col customWidth="1" min="7" max="26" width="8.71"/>
  </cols>
  <sheetData>
    <row r="1">
      <c r="A1" s="1" t="s">
        <v>0</v>
      </c>
    </row>
    <row r="2">
      <c r="A2" s="2" t="s">
        <v>1</v>
      </c>
    </row>
    <row r="3">
      <c r="A3" s="3" t="s">
        <v>2</v>
      </c>
    </row>
    <row r="5">
      <c r="A5" s="4" t="s">
        <v>3</v>
      </c>
      <c r="B5" s="5">
        <f>COUNTA(A8:A17)</f>
        <v>10</v>
      </c>
      <c r="C5" s="4" t="s">
        <v>4</v>
      </c>
      <c r="D5" s="5">
        <f>COUNTIF(F8:F17,"Pass")</f>
        <v>0</v>
      </c>
      <c r="E5" s="4" t="s">
        <v>5</v>
      </c>
      <c r="F5" s="5">
        <f>COUNTIF(F8:F17,"Fail")</f>
        <v>0</v>
      </c>
    </row>
    <row r="6">
      <c r="A6" s="4" t="s">
        <v>6</v>
      </c>
      <c r="B6" s="6">
        <f>IFERROR(D5/B5,0)</f>
        <v>0</v>
      </c>
    </row>
    <row r="7">
      <c r="A7" s="7" t="s">
        <v>7</v>
      </c>
      <c r="B7" s="7" t="s">
        <v>8</v>
      </c>
      <c r="C7" s="7" t="s">
        <v>9</v>
      </c>
      <c r="D7" s="7" t="s">
        <v>10</v>
      </c>
      <c r="E7" s="7" t="s">
        <v>11</v>
      </c>
      <c r="F7" s="7" t="s">
        <v>12</v>
      </c>
    </row>
    <row r="8" ht="60.0" customHeight="1">
      <c r="A8" s="8" t="s">
        <v>13</v>
      </c>
      <c r="B8" s="9" t="s">
        <v>14</v>
      </c>
      <c r="C8" s="9" t="s">
        <v>15</v>
      </c>
      <c r="D8" s="9" t="s">
        <v>16</v>
      </c>
      <c r="E8" s="9"/>
      <c r="F8" s="8"/>
    </row>
    <row r="9" ht="60.0" customHeight="1">
      <c r="A9" s="8" t="s">
        <v>17</v>
      </c>
      <c r="B9" s="9" t="s">
        <v>18</v>
      </c>
      <c r="C9" s="9" t="s">
        <v>19</v>
      </c>
      <c r="D9" s="9" t="s">
        <v>20</v>
      </c>
      <c r="E9" s="9"/>
      <c r="F9" s="8"/>
    </row>
    <row r="10" ht="60.0" customHeight="1">
      <c r="A10" s="8" t="s">
        <v>21</v>
      </c>
      <c r="B10" s="9" t="s">
        <v>22</v>
      </c>
      <c r="C10" s="9" t="s">
        <v>23</v>
      </c>
      <c r="D10" s="9" t="s">
        <v>24</v>
      </c>
      <c r="E10" s="9"/>
      <c r="F10" s="8"/>
    </row>
    <row r="11" ht="60.0" customHeight="1">
      <c r="A11" s="8" t="s">
        <v>25</v>
      </c>
      <c r="B11" s="9" t="s">
        <v>26</v>
      </c>
      <c r="C11" s="9" t="s">
        <v>27</v>
      </c>
      <c r="D11" s="9" t="s">
        <v>28</v>
      </c>
      <c r="E11" s="9"/>
      <c r="F11" s="8"/>
    </row>
    <row r="12" ht="60.0" customHeight="1">
      <c r="A12" s="8" t="s">
        <v>29</v>
      </c>
      <c r="B12" s="9" t="s">
        <v>30</v>
      </c>
      <c r="C12" s="9" t="s">
        <v>31</v>
      </c>
      <c r="D12" s="9" t="s">
        <v>32</v>
      </c>
      <c r="E12" s="9"/>
      <c r="F12" s="8"/>
    </row>
    <row r="13" ht="60.0" customHeight="1">
      <c r="A13" s="8" t="s">
        <v>33</v>
      </c>
      <c r="B13" s="9" t="s">
        <v>34</v>
      </c>
      <c r="C13" s="9" t="s">
        <v>35</v>
      </c>
      <c r="D13" s="9" t="s">
        <v>36</v>
      </c>
      <c r="E13" s="9"/>
      <c r="F13" s="8"/>
    </row>
    <row r="14" ht="60.0" customHeight="1">
      <c r="A14" s="8" t="s">
        <v>37</v>
      </c>
      <c r="B14" s="9" t="s">
        <v>38</v>
      </c>
      <c r="C14" s="9" t="s">
        <v>39</v>
      </c>
      <c r="D14" s="9" t="s">
        <v>40</v>
      </c>
      <c r="E14" s="9"/>
      <c r="F14" s="8"/>
    </row>
    <row r="15" ht="60.0" customHeight="1">
      <c r="A15" s="8" t="s">
        <v>41</v>
      </c>
      <c r="B15" s="9" t="s">
        <v>42</v>
      </c>
      <c r="C15" s="9" t="s">
        <v>43</v>
      </c>
      <c r="D15" s="9" t="s">
        <v>44</v>
      </c>
      <c r="E15" s="9"/>
      <c r="F15" s="8"/>
    </row>
    <row r="16" ht="60.0" customHeight="1">
      <c r="A16" s="8" t="s">
        <v>45</v>
      </c>
      <c r="B16" s="9" t="s">
        <v>46</v>
      </c>
      <c r="C16" s="9" t="s">
        <v>47</v>
      </c>
      <c r="D16" s="9" t="s">
        <v>48</v>
      </c>
      <c r="E16" s="9"/>
      <c r="F16" s="8"/>
    </row>
    <row r="17" ht="60.0" customHeight="1">
      <c r="A17" s="8" t="s">
        <v>49</v>
      </c>
      <c r="B17" s="9" t="s">
        <v>50</v>
      </c>
      <c r="C17" s="9" t="s">
        <v>51</v>
      </c>
      <c r="D17" s="9" t="s">
        <v>52</v>
      </c>
      <c r="E17" s="9"/>
      <c r="F17"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3:F3"/>
  </mergeCells>
  <conditionalFormatting sqref="F8:F17">
    <cfRule type="cellIs" dxfId="0" priority="1" operator="equal">
      <formula>"Pass"</formula>
    </cfRule>
  </conditionalFormatting>
  <conditionalFormatting sqref="F8:F17">
    <cfRule type="cellIs" dxfId="1" priority="2" operator="equal">
      <formula>"Fail"</formula>
    </cfRule>
  </conditionalFormatting>
  <conditionalFormatting sqref="F8:F17">
    <cfRule type="cellIs" dxfId="2" priority="3" operator="equal">
      <formula>"Blocked"</formula>
    </cfRule>
  </conditionalFormatting>
  <dataValidations>
    <dataValidation type="list" allowBlank="1" sqref="F8:F17">
      <formula1>"Pass,Fail,Blocked"</formula1>
    </dataValidation>
  </dataValidations>
  <printOptions/>
  <pageMargins bottom="1.0" footer="0.0" header="0.0" left="0.75" right="0.75" top="1.0"/>
  <pageSetup paperSize="9" orientation="portrait"/>
  <drawing r:id="rId1"/>
</worksheet>
</file>